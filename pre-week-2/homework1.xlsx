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eed\Downloads\"/>
    </mc:Choice>
  </mc:AlternateContent>
  <xr:revisionPtr revIDLastSave="0" documentId="13_ncr:1_{D2B35A16-B741-498F-A716-7C3A896752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ore_Data" sheetId="1" r:id="rId1"/>
    <sheet name="Stor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1" l="1"/>
  <c r="H3" i="1" s="1"/>
  <c r="E8" i="1"/>
  <c r="E7" i="1"/>
  <c r="E6" i="1"/>
  <c r="E5" i="1"/>
  <c r="E4" i="1"/>
  <c r="E3" i="1"/>
  <c r="E2" i="1"/>
  <c r="H4" i="1" l="1"/>
  <c r="H2" i="1"/>
</calcChain>
</file>

<file path=xl/sharedStrings.xml><?xml version="1.0" encoding="utf-8"?>
<sst xmlns="http://schemas.openxmlformats.org/spreadsheetml/2006/main" count="33" uniqueCount="33">
  <si>
    <t>Store</t>
  </si>
  <si>
    <t>Monthly Sales</t>
  </si>
  <si>
    <t>Statistic</t>
  </si>
  <si>
    <t>Result</t>
  </si>
  <si>
    <t>Calculation</t>
  </si>
  <si>
    <t>Std Dev Result</t>
  </si>
  <si>
    <t>Interpretation</t>
  </si>
  <si>
    <t>Store A</t>
  </si>
  <si>
    <t>Mean</t>
  </si>
  <si>
    <t>All 12 stores (incl. Store H)</t>
  </si>
  <si>
    <t>Store B</t>
  </si>
  <si>
    <t>Median</t>
  </si>
  <si>
    <t>11 stores (excl. Store H)</t>
  </si>
  <si>
    <t>Store C</t>
  </si>
  <si>
    <t>Mode</t>
  </si>
  <si>
    <t>Reduction from removing Store H</t>
  </si>
  <si>
    <t>Store D</t>
  </si>
  <si>
    <t>Range</t>
  </si>
  <si>
    <t>Store E</t>
  </si>
  <si>
    <t>Min</t>
  </si>
  <si>
    <t>Store F</t>
  </si>
  <si>
    <t>Max</t>
  </si>
  <si>
    <t>Store G</t>
  </si>
  <si>
    <t>Std Dev (All)</t>
  </si>
  <si>
    <t>Store H</t>
  </si>
  <si>
    <t>Std Dev (No H)</t>
  </si>
  <si>
    <t>Store I</t>
  </si>
  <si>
    <t>Store J</t>
  </si>
  <si>
    <t>Store K</t>
  </si>
  <si>
    <t>Store L</t>
  </si>
  <si>
    <t>Note: Blue = typed input data. Black = formulas. Yellow = Store H (outlier). Data values are from the Module 1 solution guide.</t>
  </si>
  <si>
    <t>The 12 retail locations posted a mean monthly sales figure of 49.42 units, suggesting overall moderate performance across the portfolio. However, the median of 47.50 is noticeably lower than the mean, which is a signal that the average is being pulled upward by at least one high-performing store. Store H, with 72 units, is a clear outlier; it sits approximately 20 units above the next highest store (Store E at 52). When Store H is included, the standard deviation is 7.63, indicating moderate variability. When Store H is excluded, the standard deviation drops sharply to 2.91, which reveals that the remaining 11 stores are actually performing quite consistently. The mode of 46 (shared by Store D and Store K) and the tight clustering of 11 of 12 stores between 43 and 52 reinforce this conclusion. To make better decisions, I would want to know Store H's location, staffing levels, promotional activity, and whether this is a seasonal spike or sustained performance. Understanding why Store H outperforms would help leadership replicate its success across other locations.</t>
  </si>
  <si>
    <t>The guides numbers arent right, excel gives a standard deviation of 7.63 not 7.82 for all stores and 2.91 not 3.03 without Store H. That is 62 percent drop. Everything else matches the guide: mean 49.42, median 47.5, mode 46, range 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</si>
</sst>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5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Normal="100" workbookViewId="0">
      <selection activeCell="I2" sqref="I2"/>
    </sheetView>
  </sheetViews>
  <sheetFormatPr defaultColWidth="8.7109375" defaultRowHeight="15" x14ac:dyDescent="0.25"/>
  <cols>
    <col min="1" max="1" width="12" customWidth="1"/>
    <col min="2" max="2" width="15" customWidth="1"/>
    <col min="3" max="3" width="3" customWidth="1"/>
    <col min="4" max="4" width="17" customWidth="1"/>
    <col min="5" max="5" width="10" customWidth="1"/>
    <col min="6" max="6" width="3" customWidth="1"/>
    <col min="7" max="7" width="34" customWidth="1"/>
    <col min="8" max="8" width="16" customWidth="1"/>
    <col min="9" max="9" width="46" customWidth="1"/>
  </cols>
  <sheetData>
    <row r="1" spans="1:9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7</v>
      </c>
      <c r="B2" s="3">
        <v>51</v>
      </c>
      <c r="D2" s="4" t="s">
        <v>8</v>
      </c>
      <c r="E2" s="5">
        <f>AVERAGE(B2:B13)</f>
        <v>49.416666666666664</v>
      </c>
      <c r="G2" s="2" t="s">
        <v>9</v>
      </c>
      <c r="H2" s="5">
        <f>E8</f>
        <v>7.6331613054586773</v>
      </c>
      <c r="I2" s="2" t="s">
        <v>32</v>
      </c>
    </row>
    <row r="3" spans="1:9" x14ac:dyDescent="0.25">
      <c r="A3" s="2" t="s">
        <v>10</v>
      </c>
      <c r="B3" s="3">
        <v>44</v>
      </c>
      <c r="D3" s="4" t="s">
        <v>11</v>
      </c>
      <c r="E3" s="5">
        <f>MEDIAN(B2:B13)</f>
        <v>47.5</v>
      </c>
      <c r="G3" s="2" t="s">
        <v>12</v>
      </c>
      <c r="H3" s="5">
        <f>E9</f>
        <v>2.9076701075853588</v>
      </c>
      <c r="I3" s="2"/>
    </row>
    <row r="4" spans="1:9" x14ac:dyDescent="0.25">
      <c r="A4" s="2" t="s">
        <v>13</v>
      </c>
      <c r="B4" s="3">
        <v>49</v>
      </c>
      <c r="D4" s="4" t="s">
        <v>14</v>
      </c>
      <c r="E4" s="5">
        <f>_xlfn.MODE.SNGL(B2:B13)</f>
        <v>46</v>
      </c>
      <c r="G4" s="4" t="s">
        <v>15</v>
      </c>
      <c r="H4" s="6">
        <f>(E8-E9)/E8</f>
        <v>0.61907393395368093</v>
      </c>
      <c r="I4" s="2"/>
    </row>
    <row r="5" spans="1:9" x14ac:dyDescent="0.25">
      <c r="A5" s="2" t="s">
        <v>16</v>
      </c>
      <c r="B5" s="3">
        <v>46</v>
      </c>
      <c r="D5" s="4" t="s">
        <v>17</v>
      </c>
      <c r="E5" s="5">
        <f>MAX(B2:B13)-MIN(B2:B13)</f>
        <v>29</v>
      </c>
    </row>
    <row r="6" spans="1:9" x14ac:dyDescent="0.25">
      <c r="A6" s="2" t="s">
        <v>18</v>
      </c>
      <c r="B6" s="3">
        <v>52</v>
      </c>
      <c r="D6" s="4" t="s">
        <v>19</v>
      </c>
      <c r="E6" s="5">
        <f>MIN(B2:B13)</f>
        <v>43</v>
      </c>
    </row>
    <row r="7" spans="1:9" x14ac:dyDescent="0.25">
      <c r="A7" s="2" t="s">
        <v>20</v>
      </c>
      <c r="B7" s="3">
        <v>47</v>
      </c>
      <c r="D7" s="4" t="s">
        <v>21</v>
      </c>
      <c r="E7" s="5">
        <f>MAX(B2:B13)</f>
        <v>72</v>
      </c>
    </row>
    <row r="8" spans="1:9" x14ac:dyDescent="0.25">
      <c r="A8" s="2" t="s">
        <v>22</v>
      </c>
      <c r="B8" s="3">
        <v>45</v>
      </c>
      <c r="D8" s="4" t="s">
        <v>23</v>
      </c>
      <c r="E8" s="5">
        <f>_xlfn.STDEV.S(B2:B13)</f>
        <v>7.6331613054586773</v>
      </c>
    </row>
    <row r="9" spans="1:9" x14ac:dyDescent="0.25">
      <c r="A9" s="7" t="s">
        <v>24</v>
      </c>
      <c r="B9" s="8">
        <v>72</v>
      </c>
      <c r="D9" s="4" t="s">
        <v>25</v>
      </c>
      <c r="E9" s="5">
        <f>_xlfn.STDEV.S(B2:B8,B10:B13)</f>
        <v>2.9076701075853588</v>
      </c>
    </row>
    <row r="10" spans="1:9" x14ac:dyDescent="0.25">
      <c r="A10" s="2" t="s">
        <v>26</v>
      </c>
      <c r="B10" s="3">
        <v>43</v>
      </c>
    </row>
    <row r="11" spans="1:9" x14ac:dyDescent="0.25">
      <c r="A11" s="2" t="s">
        <v>27</v>
      </c>
      <c r="B11" s="3">
        <v>48</v>
      </c>
    </row>
    <row r="12" spans="1:9" x14ac:dyDescent="0.25">
      <c r="A12" s="2" t="s">
        <v>28</v>
      </c>
      <c r="B12" s="3">
        <v>46</v>
      </c>
    </row>
    <row r="13" spans="1:9" x14ac:dyDescent="0.25">
      <c r="A13" s="2" t="s">
        <v>29</v>
      </c>
      <c r="B13" s="3">
        <v>50</v>
      </c>
    </row>
    <row r="15" spans="1:9" x14ac:dyDescent="0.25">
      <c r="A15" s="9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9.75" customHeight="1" x14ac:dyDescent="0.25">
      <c r="A1" s="10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saeed johnson</cp:lastModifiedBy>
  <cp:revision>0</cp:revision>
  <dcterms:created xsi:type="dcterms:W3CDTF">2026-10-15T23:25:38Z</dcterms:created>
  <dcterms:modified xsi:type="dcterms:W3CDTF">2026-10-15T23:49:46Z</dcterms:modified>
  <dc:language>en-US</dc:language>
</cp:coreProperties>
</file>