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ore_Data" sheetId="1" state="visible" r:id="rId3"/>
    <sheet name="Region_Pivot" sheetId="2" state="visible" r:id="rId4"/>
    <sheet name="Store_Region_Summary" sheetId="3" state="visible" r:id="rId5"/>
    <sheet name="Store_Category_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<sst xmlns="http://schemas.openxmlformats.org/spreadsheetml/2006/main" count="65" uniqueCount="32">
  <si>
    <t xml:space="preserve">Store</t>
  </si>
  <si>
    <t xml:space="preserve">Region</t>
  </si>
  <si>
    <t xml:space="preserve">Category</t>
  </si>
  <si>
    <t xml:space="preserve">Monthly Sales</t>
  </si>
  <si>
    <t xml:space="preserve">Column</t>
  </si>
  <si>
    <t xml:space="preserve">Data Type</t>
  </si>
  <si>
    <t xml:space="preserve">Store H</t>
  </si>
  <si>
    <t xml:space="preserve">West</t>
  </si>
  <si>
    <t xml:space="preserve">Electronics</t>
  </si>
  <si>
    <t xml:space="preserve">Categorical</t>
  </si>
  <si>
    <t xml:space="preserve">Store E</t>
  </si>
  <si>
    <t xml:space="preserve">East</t>
  </si>
  <si>
    <t xml:space="preserve">Store A</t>
  </si>
  <si>
    <t xml:space="preserve">North</t>
  </si>
  <si>
    <t xml:space="preserve">Apparel</t>
  </si>
  <si>
    <t xml:space="preserve">Store L</t>
  </si>
  <si>
    <t xml:space="preserve">Numerical</t>
  </si>
  <si>
    <t xml:space="preserve">Store C</t>
  </si>
  <si>
    <t xml:space="preserve">South</t>
  </si>
  <si>
    <t xml:space="preserve">Store J</t>
  </si>
  <si>
    <t xml:space="preserve">Store F</t>
  </si>
  <si>
    <t xml:space="preserve">Store D</t>
  </si>
  <si>
    <t xml:space="preserve">Home Goods</t>
  </si>
  <si>
    <t xml:space="preserve">Store K</t>
  </si>
  <si>
    <t xml:space="preserve">Store G</t>
  </si>
  <si>
    <t xml:space="preserve">Store B</t>
  </si>
  <si>
    <t xml:space="preserve">Store I</t>
  </si>
  <si>
    <t xml:space="preserve">Row Labels</t>
  </si>
  <si>
    <t xml:space="preserve">Sum of Monthly Sales</t>
  </si>
  <si>
    <t xml:space="preserve">Grand Total</t>
  </si>
  <si>
    <t xml:space="preserve">The West region leads all four regions with 167 total monthly sales units, about 28% of the combined total of 593. It is ahead of East (145, 24%), South (143, 24%) and North (138, 23%). This result should be read carefully, because the West total is heavily influenced by Store H, which alone accounts for 72 of the region's 167 units, or about 43%. Without Store H, the West would total only 95 units and rank last among the four regions. Leadership should investigate whether Store H's performance is sustainable or driven by a temporary factor before concluding that the West region is strong overall.</t>
  </si>
  <si>
    <t xml:space="preserve">Electronics is the top-performing category with 218 total monthly sales units, followed by Apparel at 195 and Home Goods at 180. The gap between the highest and lowest categories is 38 units. I selected a clustered column chart because the goal is to compare three distinct categories side by side. Bar height makes the ranking immediately clear, which is more useful than a pie chart when the audience needs to judge magnitude rather than proportion. The chart also shows that Electronics' lead is partly driven by Store H (72 units, about 33% of the category total). Without Store H, Electronics would total only 146 units, which would put it below both Apparel (195) and Home Goods (180), so the category advantage may not be as strong as the raw totals suggest.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</si>
</sst>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8"/>
      <color rgb="FF000000"/>
      <name val="Calibri"/>
      <family val="2"/>
    </font>
    <font>
      <sz val="10"/>
      <color rgb="FF000000"/>
      <name val="Calibri"/>
      <family val="2"/>
    </font>
    <font>
      <b val="true"/>
      <sz val="10"/>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8064A2"/>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Regional Sales Distribution</a:t>
            </a:r>
          </a:p>
        </c:rich>
      </c:tx>
      <c:overlay val="0"/>
      <c:spPr>
        <a:noFill/>
        <a:ln w="0">
          <a:noFill/>
        </a:ln>
      </c:spPr>
    </c:title>
    <c:autoTitleDeleted val="0"/>
    <c:plotArea>
      <c:pieChart>
        <c:varyColors val="1"/>
        <c:ser>
          <c:idx val="0"/>
          <c:order val="0"/>
          <c:tx>
            <c:strRef>
              <c:f>Region_Pivot!B3</c:f>
              <c:strCache>
                <c:ptCount val="1"/>
                <c:pt idx="0">
                  <c:v>Sum of Monthly Sales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1"/>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1"/>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1"/>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1"/>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1"/>
            <c:showSerName val="0"/>
            <c:showPercent val="1"/>
            <c:separator>
</c:separator>
            <c:showLeaderLines val="1"/>
          </c:dLbls>
          <c:cat>
            <c:strRef>
              <c:f>Region_Pivot!$A$4:$A$7</c:f>
              <c:strCache>
                <c:ptCount val="4"/>
                <c:pt idx="0">
                  <c:v>East</c:v>
                </c:pt>
                <c:pt idx="1">
                  <c:v>North</c:v>
                </c:pt>
                <c:pt idx="2">
                  <c:v>South</c:v>
                </c:pt>
                <c:pt idx="3">
                  <c:v>West</c:v>
                </c:pt>
              </c:strCache>
            </c:strRef>
          </c:cat>
          <c:val>
            <c:numRef>
              <c:f>Region_Pivot!$B$4:$B$7</c:f>
              <c:numCache>
                <c:formatCode>General</c:formatCode>
                <c:ptCount val="4"/>
                <c:pt idx="0">
                  <c:v>145</c:v>
                </c:pt>
                <c:pt idx="1">
                  <c:v>138</c:v>
                </c:pt>
                <c:pt idx="2">
                  <c:v>143</c:v>
                </c:pt>
                <c:pt idx="3">
                  <c:v>167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by Category</a:t>
            </a:r>
          </a:p>
        </c:rich>
      </c:tx>
      <c:overlay val="0"/>
      <c:spPr>
        <a:noFill/>
        <a:ln w="0">
          <a:noFill/>
        </a:ln>
      </c:spPr>
    </c:title>
    <c:autoTitleDeleted val="0"/>
    <c:plotArea>
      <c:barChart>
        <c:barDir val="col"/>
        <c:grouping val="clustered"/>
        <c:varyColors val="0"/>
        <c:ser>
          <c:idx val="0"/>
          <c:order val="0"/>
          <c:tx>
            <c:strRef>
              <c:f>Store_Category_Summary!B3</c:f>
              <c:strCache>
                <c:ptCount val="1"/>
                <c:pt idx="0">
                  <c:v>Sum of Monthly Sales</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1"/>
            <c:showVal val="1"/>
            <c:showCatName val="0"/>
            <c:showSerName val="0"/>
            <c:showPercent val="0"/>
            <c:separator>; </c:separator>
            <c:showLeaderLines val="1"/>
            <c:extLst>
              <c:ext xmlns:c15="http://schemas.microsoft.com/office/drawing/2012/chart" uri="{CE6537A1-D6FC-4f65-9D91-7224C49458BB}">
                <c15:showLeaderLines val="1"/>
              </c:ext>
            </c:extLst>
          </c:dLbls>
          <c:cat>
            <c:strRef>
              <c:f>Store_Category_Summary!$A$4:$A$6</c:f>
              <c:strCache>
                <c:ptCount val="3"/>
                <c:pt idx="0">
                  <c:v>Apparel</c:v>
                </c:pt>
                <c:pt idx="1">
                  <c:v>Electronics</c:v>
                </c:pt>
                <c:pt idx="2">
                  <c:v>Home Goods</c:v>
                </c:pt>
              </c:strCache>
            </c:strRef>
          </c:cat>
          <c:val>
            <c:numRef>
              <c:f>Store_Category_Summary!$B$4:$B$6</c:f>
              <c:numCache>
                <c:formatCode>General</c:formatCode>
                <c:ptCount val="3"/>
                <c:pt idx="0">
                  <c:v>195</c:v>
                </c:pt>
                <c:pt idx="1">
                  <c:v>218</c:v>
                </c:pt>
                <c:pt idx="2">
                  <c:v>180</c:v>
                </c:pt>
              </c:numCache>
            </c:numRef>
          </c:val>
        </c:ser>
        <c:gapWidth val="150"/>
        <c:overlap val="0"/>
        <c:axId val="66047744"/>
        <c:axId val="22459056"/>
      </c:barChart>
      <c:catAx>
        <c:axId val="660477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59056"/>
        <c:crosses val="autoZero"/>
        <c:auto val="1"/>
        <c:lblAlgn val="ctr"/>
        <c:lblOffset val="100"/>
        <c:noMultiLvlLbl val="0"/>
      </c:catAx>
      <c:valAx>
        <c:axId val="224590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Monthly Sales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0477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0</xdr:rowOff>
    </xdr:from>
    <xdr:to>
      <xdr:col>10</xdr:col>
      <xdr:colOff>38880</xdr:colOff>
      <xdr:row>17</xdr:row>
      <xdr:rowOff>21960</xdr:rowOff>
    </xdr:to>
    <xdr:graphicFrame>
      <xdr:nvGraphicFramePr>
        <xdr:cNvPr id="0" name="Chart 1"/>
        <xdr:cNvGraphicFramePr/>
      </xdr:nvGraphicFramePr>
      <xdr:xfrm>
        <a:off x="3148920" y="38088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0</xdr:rowOff>
    </xdr:from>
    <xdr:to>
      <xdr:col>10</xdr:col>
      <xdr:colOff>38880</xdr:colOff>
      <xdr:row>17</xdr:row>
      <xdr:rowOff>21960</xdr:rowOff>
    </xdr:to>
    <xdr:graphicFrame>
      <xdr:nvGraphicFramePr>
        <xdr:cNvPr id="1" name="Chart 1"/>
        <xdr:cNvGraphicFramePr/>
      </xdr:nvGraphicFramePr>
      <xdr:xfrm>
        <a:off x="3148920" y="38088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4" min="3" style="0" width="14"/>
    <col collapsed="false" customWidth="true" hidden="false" outlineLevel="0" max="6" min="6" style="0" width="14"/>
    <col collapsed="false" customWidth="true" hidden="false" outlineLevel="0" max="7" min="7" style="0" width="12"/>
  </cols>
  <sheetData>
    <row r="1" customFormat="false" ht="15" hidden="false" customHeight="false" outlineLevel="0" collapsed="false">
      <c r="A1" s="0" t="s">
        <v>0</v>
      </c>
      <c r="B1" s="0" t="s">
        <v>1</v>
      </c>
      <c r="C1" s="0" t="s">
        <v>2</v>
      </c>
      <c r="D1" s="0" t="s">
        <v>3</v>
      </c>
      <c r="F1" s="0" t="s">
        <v>4</v>
      </c>
      <c r="G1" s="0" t="s">
        <v>5</v>
      </c>
    </row>
    <row r="2" customFormat="false" ht="15" hidden="false" customHeight="false" outlineLevel="0" collapsed="false">
      <c r="A2" s="0" t="s">
        <v>6</v>
      </c>
      <c r="B2" s="0" t="s">
        <v>7</v>
      </c>
      <c r="C2" s="0" t="s">
        <v>8</v>
      </c>
      <c r="D2" s="0" t="n">
        <v>72</v>
      </c>
      <c r="F2" s="0" t="s">
        <v>0</v>
      </c>
      <c r="G2" s="0" t="s">
        <v>9</v>
      </c>
    </row>
    <row r="3" customFormat="false" ht="15" hidden="false" customHeight="false" outlineLevel="0" collapsed="false">
      <c r="A3" s="0" t="s">
        <v>10</v>
      </c>
      <c r="B3" s="0" t="s">
        <v>11</v>
      </c>
      <c r="C3" s="0" t="s">
        <v>8</v>
      </c>
      <c r="D3" s="0" t="n">
        <v>52</v>
      </c>
      <c r="F3" s="0" t="s">
        <v>1</v>
      </c>
      <c r="G3" s="0" t="s">
        <v>9</v>
      </c>
    </row>
    <row r="4" customFormat="false" ht="15" hidden="false" customHeight="false" outlineLevel="0" collapsed="false">
      <c r="A4" s="0" t="s">
        <v>12</v>
      </c>
      <c r="B4" s="0" t="s">
        <v>13</v>
      </c>
      <c r="C4" s="0" t="s">
        <v>14</v>
      </c>
      <c r="D4" s="0" t="n">
        <v>51</v>
      </c>
      <c r="F4" s="0" t="s">
        <v>2</v>
      </c>
      <c r="G4" s="0" t="s">
        <v>9</v>
      </c>
    </row>
    <row r="5" customFormat="false" ht="15" hidden="false" customHeight="false" outlineLevel="0" collapsed="false">
      <c r="A5" s="0" t="s">
        <v>15</v>
      </c>
      <c r="B5" s="0" t="s">
        <v>7</v>
      </c>
      <c r="C5" s="0" t="s">
        <v>8</v>
      </c>
      <c r="D5" s="0" t="n">
        <v>50</v>
      </c>
      <c r="F5" s="0" t="s">
        <v>3</v>
      </c>
      <c r="G5" s="0" t="s">
        <v>16</v>
      </c>
    </row>
    <row r="6" customFormat="false" ht="15" hidden="false" customHeight="false" outlineLevel="0" collapsed="false">
      <c r="A6" s="0" t="s">
        <v>17</v>
      </c>
      <c r="B6" s="0" t="s">
        <v>18</v>
      </c>
      <c r="C6" s="0" t="s">
        <v>14</v>
      </c>
      <c r="D6" s="0" t="n">
        <v>49</v>
      </c>
    </row>
    <row r="7" customFormat="false" ht="15" hidden="false" customHeight="false" outlineLevel="0" collapsed="false">
      <c r="A7" s="0" t="s">
        <v>19</v>
      </c>
      <c r="B7" s="0" t="s">
        <v>18</v>
      </c>
      <c r="C7" s="0" t="s">
        <v>14</v>
      </c>
      <c r="D7" s="0" t="n">
        <v>48</v>
      </c>
    </row>
    <row r="8" customFormat="false" ht="15" hidden="false" customHeight="false" outlineLevel="0" collapsed="false">
      <c r="A8" s="0" t="s">
        <v>20</v>
      </c>
      <c r="B8" s="0" t="s">
        <v>11</v>
      </c>
      <c r="C8" s="0" t="s">
        <v>14</v>
      </c>
      <c r="D8" s="0" t="n">
        <v>47</v>
      </c>
    </row>
    <row r="9" customFormat="false" ht="15" hidden="false" customHeight="false" outlineLevel="0" collapsed="false">
      <c r="A9" s="0" t="s">
        <v>21</v>
      </c>
      <c r="B9" s="0" t="s">
        <v>18</v>
      </c>
      <c r="C9" s="0" t="s">
        <v>22</v>
      </c>
      <c r="D9" s="0" t="n">
        <v>46</v>
      </c>
    </row>
    <row r="10" customFormat="false" ht="15" hidden="false" customHeight="false" outlineLevel="0" collapsed="false">
      <c r="A10" s="0" t="s">
        <v>23</v>
      </c>
      <c r="B10" s="0" t="s">
        <v>11</v>
      </c>
      <c r="C10" s="0" t="s">
        <v>22</v>
      </c>
      <c r="D10" s="0" t="n">
        <v>46</v>
      </c>
    </row>
    <row r="11" customFormat="false" ht="15" hidden="false" customHeight="false" outlineLevel="0" collapsed="false">
      <c r="A11" s="0" t="s">
        <v>24</v>
      </c>
      <c r="B11" s="0" t="s">
        <v>7</v>
      </c>
      <c r="C11" s="0" t="s">
        <v>22</v>
      </c>
      <c r="D11" s="0" t="n">
        <v>45</v>
      </c>
    </row>
    <row r="12" customFormat="false" ht="15" hidden="false" customHeight="false" outlineLevel="0" collapsed="false">
      <c r="A12" s="0" t="s">
        <v>25</v>
      </c>
      <c r="B12" s="0" t="s">
        <v>13</v>
      </c>
      <c r="C12" s="0" t="s">
        <v>8</v>
      </c>
      <c r="D12" s="0" t="n">
        <v>44</v>
      </c>
    </row>
    <row r="13" customFormat="false" ht="15" hidden="false" customHeight="false" outlineLevel="0" collapsed="false">
      <c r="A13" s="0" t="s">
        <v>26</v>
      </c>
      <c r="B13" s="0" t="s">
        <v>13</v>
      </c>
      <c r="C13" s="0" t="s">
        <v>22</v>
      </c>
      <c r="D13" s="0" t="n">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s>
  <sheetData>
    <row r="3" customFormat="false" ht="15" hidden="false" customHeight="false" outlineLevel="0" collapsed="false">
      <c r="A3" s="0" t="s">
        <v>27</v>
      </c>
      <c r="B3" s="0" t="s">
        <v>28</v>
      </c>
    </row>
    <row r="4" customFormat="false" ht="15" hidden="false" customHeight="false" outlineLevel="0" collapsed="false">
      <c r="A4" s="0" t="s">
        <v>11</v>
      </c>
      <c r="B4" s="0" t="n">
        <f aca="false">SUMIF(Store_Data!$B$2:$B$13,A4,Store_Data!$D$2:$D$13)</f>
        <v>145</v>
      </c>
    </row>
    <row r="5" customFormat="false" ht="15" hidden="false" customHeight="false" outlineLevel="0" collapsed="false">
      <c r="A5" s="0" t="s">
        <v>13</v>
      </c>
      <c r="B5" s="0" t="n">
        <f aca="false">SUMIF(Store_Data!$B$2:$B$13,A5,Store_Data!$D$2:$D$13)</f>
        <v>138</v>
      </c>
    </row>
    <row r="6" customFormat="false" ht="15" hidden="false" customHeight="false" outlineLevel="0" collapsed="false">
      <c r="A6" s="0" t="s">
        <v>18</v>
      </c>
      <c r="B6" s="0" t="n">
        <f aca="false">SUMIF(Store_Data!$B$2:$B$13,A6,Store_Data!$D$2:$D$13)</f>
        <v>143</v>
      </c>
    </row>
    <row r="7" customFormat="false" ht="15" hidden="false" customHeight="false" outlineLevel="0" collapsed="false">
      <c r="A7" s="0" t="s">
        <v>7</v>
      </c>
      <c r="B7" s="0" t="n">
        <f aca="false">SUMIF(Store_Data!$B$2:$B$13,A7,Store_Data!$D$2:$D$13)</f>
        <v>167</v>
      </c>
    </row>
    <row r="8" customFormat="false" ht="15" hidden="false" customHeight="false" outlineLevel="0" collapsed="false">
      <c r="A8" s="0" t="s">
        <v>29</v>
      </c>
      <c r="B8" s="0" t="n">
        <f aca="false">SUM(B4:B7)</f>
        <v>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09.5" hidden="false" customHeight="true" outlineLevel="0" collapsed="false">
      <c r="A1" s="1"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s>
  <sheetData>
    <row r="3" customFormat="false" ht="15" hidden="false" customHeight="false" outlineLevel="0" collapsed="false">
      <c r="A3" s="0" t="s">
        <v>27</v>
      </c>
      <c r="B3" s="0" t="s">
        <v>28</v>
      </c>
    </row>
    <row r="4" customFormat="false" ht="15" hidden="false" customHeight="false" outlineLevel="0" collapsed="false">
      <c r="A4" s="0" t="s">
        <v>14</v>
      </c>
      <c r="B4" s="0" t="n">
        <f aca="false">SUMIF(Store_Data!$C$2:$C$13,A4,Store_Data!$D$2:$D$13)</f>
        <v>195</v>
      </c>
    </row>
    <row r="5" customFormat="false" ht="15" hidden="false" customHeight="false" outlineLevel="0" collapsed="false">
      <c r="A5" s="0" t="s">
        <v>8</v>
      </c>
      <c r="B5" s="0" t="n">
        <f aca="false">SUMIF(Store_Data!$C$2:$C$13,A5,Store_Data!$D$2:$D$13)</f>
        <v>218</v>
      </c>
    </row>
    <row r="6" customFormat="false" ht="15" hidden="false" customHeight="false" outlineLevel="0" collapsed="false">
      <c r="A6" s="0" t="s">
        <v>22</v>
      </c>
      <c r="B6" s="0" t="n">
        <f aca="false">SUMIF(Store_Data!$C$2:$C$13,A6,Store_Data!$D$2:$D$13)</f>
        <v>180</v>
      </c>
    </row>
    <row r="7" customFormat="false" ht="15" hidden="false" customHeight="false" outlineLevel="0" collapsed="false">
      <c r="A7" s="0" t="s">
        <v>29</v>
      </c>
      <c r="B7" s="0" t="n">
        <f aca="false">SUM(B4:B6)</f>
        <v>593</v>
      </c>
    </row>
    <row r="20" customFormat="false" ht="15" hidden="false" customHeight="true" outlineLevel="0" collapsed="false">
      <c r="A20" s="2" t="s">
        <v>31</v>
      </c>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row r="26" customFormat="false" ht="15" hidden="false" customHeight="false" outlineLevel="0" collapsed="false">
      <c r="A26" s="2"/>
      <c r="B26" s="2"/>
      <c r="C26" s="2"/>
      <c r="D26" s="2"/>
      <c r="E26" s="2"/>
      <c r="F26" s="2"/>
      <c r="G26" s="2"/>
      <c r="H26" s="2"/>
      <c r="I26" s="2"/>
      <c r="J26" s="2"/>
    </row>
    <row r="27" customFormat="false" ht="15" hidden="false" customHeight="false" outlineLevel="0" collapsed="false">
      <c r="A27" s="2"/>
      <c r="B27" s="2"/>
      <c r="C27" s="2"/>
      <c r="D27" s="2"/>
      <c r="E27" s="2"/>
      <c r="F27" s="2"/>
      <c r="G27" s="2"/>
      <c r="H27" s="2"/>
      <c r="I27" s="2"/>
      <c r="J27" s="2"/>
    </row>
    <row r="28" customFormat="false" ht="15" hidden="false" customHeight="false" outlineLevel="0" collapsed="false">
      <c r="A28" s="2"/>
      <c r="B28" s="2"/>
      <c r="C28" s="2"/>
      <c r="D28" s="2"/>
      <c r="E28" s="2"/>
      <c r="F28" s="2"/>
      <c r="G28" s="2"/>
      <c r="H28" s="2"/>
      <c r="I28" s="2"/>
      <c r="J28" s="2"/>
    </row>
  </sheetData>
  <mergeCells count="1">
    <mergeCell ref="A20:J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2026-10-16T03:26:29Z</dcterms:created>
  <dc:creator>openpyxl</dc:creator>
  <dc:description/>
  <dc:language>en-US</dc:language>
  <cp:lastModifiedBy/>
  <dcterms:modified xsi:type="dcterms:W3CDTF">2026-10-16T03:26:32Z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